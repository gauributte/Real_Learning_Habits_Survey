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7cb4eb84c3036261/Documents/"/>
    </mc:Choice>
  </mc:AlternateContent>
  <xr:revisionPtr revIDLastSave="110" documentId="8_{C12704FA-F7BD-48DA-908B-9486B8D26DE8}" xr6:coauthVersionLast="47" xr6:coauthVersionMax="47" xr10:uidLastSave="{677A4760-9DBA-40EE-BE9A-AFF0730F9B71}"/>
  <bookViews>
    <workbookView xWindow="-108" yWindow="-108" windowWidth="23256" windowHeight="12456" activeTab="1" xr2:uid="{00000000-000D-0000-FFFF-FFFF00000000}"/>
  </bookViews>
  <sheets>
    <sheet name="Raw Data" sheetId="1" r:id="rId1"/>
    <sheet name="Summary" sheetId="2" r:id="rId2"/>
    <sheet name="Chart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4" i="2" l="1"/>
  <c r="B25" i="2"/>
  <c r="B26" i="2"/>
  <c r="C26" i="2" s="1"/>
  <c r="B29" i="2"/>
  <c r="B30" i="2"/>
  <c r="B31" i="2"/>
  <c r="B32" i="2"/>
  <c r="B35" i="2"/>
  <c r="B36" i="2"/>
  <c r="B37" i="2"/>
  <c r="B38" i="2"/>
  <c r="C37" i="2" s="1"/>
  <c r="C38" i="2"/>
  <c r="B41" i="2"/>
  <c r="B42" i="2"/>
  <c r="B43" i="2"/>
  <c r="C42" i="2" s="1"/>
  <c r="C43" i="2"/>
  <c r="B21" i="2"/>
  <c r="B20" i="2"/>
  <c r="B19" i="2"/>
  <c r="C19" i="2" s="1"/>
  <c r="B15" i="2"/>
  <c r="B16" i="2"/>
  <c r="B14" i="2"/>
  <c r="B11" i="2"/>
  <c r="B10" i="2"/>
  <c r="B8" i="2"/>
  <c r="B9" i="2"/>
  <c r="C9" i="2" s="1"/>
  <c r="B5" i="2"/>
  <c r="B4" i="2"/>
  <c r="B3" i="2"/>
  <c r="B2" i="2"/>
  <c r="C2" i="2" s="1"/>
  <c r="C24" i="2" l="1"/>
  <c r="C25" i="2"/>
  <c r="C35" i="2"/>
  <c r="C36" i="2"/>
  <c r="C41" i="2"/>
  <c r="C29" i="2"/>
  <c r="C30" i="2"/>
  <c r="C31" i="2"/>
  <c r="C32" i="2"/>
  <c r="C21" i="2"/>
  <c r="C20" i="2"/>
  <c r="C10" i="2"/>
  <c r="C8" i="2"/>
  <c r="C5" i="2"/>
  <c r="C4" i="2"/>
  <c r="C3" i="2"/>
  <c r="C11" i="2"/>
  <c r="C14" i="2"/>
  <c r="C16" i="2"/>
  <c r="C15" i="2"/>
</calcChain>
</file>

<file path=xl/sharedStrings.xml><?xml version="1.0" encoding="utf-8"?>
<sst xmlns="http://schemas.openxmlformats.org/spreadsheetml/2006/main" count="364" uniqueCount="69">
  <si>
    <t>Timestamp</t>
  </si>
  <si>
    <t xml:space="preserve">Which group do you fall into? </t>
  </si>
  <si>
    <t xml:space="preserve">Be honest—where do you actually understand things the best?  </t>
  </si>
  <si>
    <t xml:space="preserve">How often do you attend classes/lectures?  </t>
  </si>
  <si>
    <t xml:space="preserve">How much do you actually understand during those classes?  </t>
  </si>
  <si>
    <t>After a class, do you usually go online(YouTube,etc.) to understand the same topic better?</t>
  </si>
  <si>
    <t xml:space="preserve">When do you feel your ‘real’ studying happens?  </t>
  </si>
  <si>
    <t xml:space="preserve">What actually helps you learn faster?  </t>
  </si>
  <si>
    <t xml:space="preserve">Do you feel lectures alone are enough to build real skills?  </t>
  </si>
  <si>
    <t xml:space="preserve">Anything you want to say about how you actually learn?  </t>
  </si>
  <si>
    <t>College student</t>
  </si>
  <si>
    <t>YouTube/videos</t>
  </si>
  <si>
    <t>Sometimes</t>
  </si>
  <si>
    <t>Some of it</t>
  </si>
  <si>
    <t>Right before exams</t>
  </si>
  <si>
    <t>Watching videos</t>
  </si>
  <si>
    <t>No</t>
  </si>
  <si>
    <t xml:space="preserve">I learn more in a 10 minute ‘One Shot’ video than a month of lectures </t>
  </si>
  <si>
    <t>Self-study (notes/books)</t>
  </si>
  <si>
    <t>Explaining to someone</t>
  </si>
  <si>
    <t>Almost always</t>
  </si>
  <si>
    <t>Late at night</t>
  </si>
  <si>
    <t>.</t>
  </si>
  <si>
    <t>Lectures/classes</t>
  </si>
  <si>
    <t>Rarely</t>
  </si>
  <si>
    <t>Very little</t>
  </si>
  <si>
    <t>Working</t>
  </si>
  <si>
    <t>Most of it</t>
  </si>
  <si>
    <t>Reading notes</t>
  </si>
  <si>
    <t>After class</t>
  </si>
  <si>
    <t>Practicing problems</t>
  </si>
  <si>
    <t>Friends/peers</t>
  </si>
  <si>
    <t>Yes</t>
  </si>
  <si>
    <t>Make notes by myself after understanding the concepts.</t>
  </si>
  <si>
    <t xml:space="preserve">I watched youtube video to learn </t>
  </si>
  <si>
    <t>N/A</t>
  </si>
  <si>
    <t xml:space="preserve">Practice </t>
  </si>
  <si>
    <t>Not sure</t>
  </si>
  <si>
    <t>School student</t>
  </si>
  <si>
    <t xml:space="preserve">Every day after my school at home I make the notes for each chapter which is taught . </t>
  </si>
  <si>
    <t>Every day after my classes I make notes and from them for my exams.m them</t>
  </si>
  <si>
    <t xml:space="preserve">I actually learn from YouTube Channels, and watching video's help me to understand things faster. </t>
  </si>
  <si>
    <t>Youtube is the best.</t>
  </si>
  <si>
    <t>Watching YouTube videos</t>
  </si>
  <si>
    <t xml:space="preserve">From chatgpt </t>
  </si>
  <si>
    <t>Nope</t>
  </si>
  <si>
    <t>During class</t>
  </si>
  <si>
    <t xml:space="preserve">I think the best way to learn and understand what you have studied is to learn something and apply them in solving actual problems. Cause that's how you come to know how much of what you've studied can you actually apply </t>
  </si>
  <si>
    <t>Actual learning happens after class where I self study via making a dedicated effort to understand textbooks, make notes and solve problems with the help of tools like Perplexity and ChatGPT</t>
  </si>
  <si>
    <t>lectures and solving question paper</t>
  </si>
  <si>
    <t>notes</t>
  </si>
  <si>
    <t>Through YouTube videos</t>
  </si>
  <si>
    <t>Group</t>
  </si>
  <si>
    <t>Count</t>
  </si>
  <si>
    <t>%</t>
  </si>
  <si>
    <t>Student</t>
  </si>
  <si>
    <t>College Student</t>
  </si>
  <si>
    <t>Other</t>
  </si>
  <si>
    <t>Better Understanding</t>
  </si>
  <si>
    <t>Attendace</t>
  </si>
  <si>
    <t>Class Understanding</t>
  </si>
  <si>
    <t>Goes online after class</t>
  </si>
  <si>
    <t>Real Study Time</t>
  </si>
  <si>
    <t>Learning Style</t>
  </si>
  <si>
    <t>Lectures Enough</t>
  </si>
  <si>
    <t>Real Learning Habits Survey</t>
  </si>
  <si>
    <t>Survey of 36 Respondents</t>
  </si>
  <si>
    <t>83% respondents believe that lectures are not enough to build real skills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</si>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</sst>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10" x14ac:knownFonts="1">
    <font>
      <sz val="10"/>
      <color rgb="FF000000"/>
      <name val="Arial"/>
      <scheme val="minor"/>
    </font>
    <font>
      <sz val="10"/>
      <color theme="1"/>
      <name val="Arial"/>
      <scheme val="minor"/>
    </font>
    <font>
      <sz val="10"/>
      <color rgb="FF000000"/>
      <name val="Arial"/>
      <scheme val="minor"/>
    </font>
    <font>
      <b/>
      <sz val="10"/>
      <color theme="1"/>
      <name val="Arial"/>
      <family val="2"/>
      <scheme val="minor"/>
    </font>
    <font>
      <b/>
      <sz val="10"/>
      <color rgb="FF000000"/>
      <name val="Arial"/>
      <family val="2"/>
      <scheme val="minor"/>
    </font>
    <font>
      <sz val="10"/>
      <color theme="1"/>
      <name val="Arial"/>
      <family val="2"/>
      <scheme val="minor"/>
    </font>
    <font>
      <sz val="10"/>
      <color rgb="FF000000"/>
      <name val="Arial"/>
      <family val="2"/>
      <scheme val="minor"/>
    </font>
    <font>
      <b/>
      <sz val="18"/>
      <color rgb="FF000000"/>
      <name val="Arial"/>
      <family val="2"/>
      <scheme val="minor"/>
    </font>
    <font>
      <sz val="12"/>
      <color theme="2" tint="-0.499984740745262"/>
      <name val="Arial"/>
      <family val="2"/>
      <scheme val="minor"/>
    </font>
    <font>
      <sz val="12"/>
      <color rgb="FFC00000"/>
      <name val="Arial"/>
      <family val="2"/>
      <scheme val="minor"/>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s>
  <cellStyleXfs count="2">
    <xf numFmtId="0" fontId="0" fillId="0" borderId="0"/>
    <xf numFmtId="9" fontId="2" fillId="0" borderId="0" applyFont="0" applyFill="0" applyBorder="0" applyAlignment="0" applyProtection="0"/>
  </cellStyleXfs>
  <cellXfs count="23">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xf numFmtId="9" fontId="0" fillId="0" borderId="0" xfId="1" applyFont="1"/>
    <xf numFmtId="10" fontId="0" fillId="0" borderId="0" xfId="0" applyNumberFormat="1"/>
    <xf numFmtId="0" fontId="7" fillId="0" borderId="0" xfId="0" applyFont="1"/>
    <xf numFmtId="0" fontId="8" fillId="0" borderId="0" xfId="0" applyFont="1"/>
    <xf numFmtId="0" fontId="9" fillId="0" borderId="0" xfId="0" applyFont="1"/>
    <xf numFmtId="0" fontId="5" fillId="3" borderId="1" xfId="0" applyFont="1" applyFill="1"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1" fillId="0" borderId="1" xfId="0" applyFont="1" applyBorder="1" applyAlignment="1">
      <alignment horizontal="center"/>
    </xf>
    <xf numFmtId="0" fontId="1" fillId="3" borderId="1" xfId="0" applyFont="1" applyFill="1" applyBorder="1" applyAlignment="1">
      <alignment horizontal="center" vertical="center"/>
    </xf>
    <xf numFmtId="0" fontId="1" fillId="2" borderId="1" xfId="0" applyFont="1" applyFill="1" applyBorder="1" applyAlignment="1">
      <alignment horizontal="center" vertical="center"/>
    </xf>
    <xf numFmtId="0" fontId="4" fillId="0" borderId="1" xfId="0" applyFont="1" applyBorder="1" applyAlignment="1">
      <alignment horizontal="center"/>
    </xf>
    <xf numFmtId="0" fontId="5" fillId="2" borderId="1" xfId="0" applyFont="1" applyFill="1" applyBorder="1" applyAlignment="1">
      <alignment horizontal="center" vertical="center"/>
    </xf>
    <xf numFmtId="0" fontId="6" fillId="0" borderId="1" xfId="0" applyFont="1" applyBorder="1" applyAlignment="1">
      <alignment horizontal="center"/>
    </xf>
    <xf numFmtId="0" fontId="3" fillId="0" borderId="1" xfId="0" applyFont="1" applyBorder="1" applyAlignment="1">
      <alignment horizontal="center"/>
    </xf>
    <xf numFmtId="2" fontId="0" fillId="0" borderId="1" xfId="0" applyNumberFormat="1" applyBorder="1" applyAlignment="1">
      <alignment horizontal="center"/>
    </xf>
    <xf numFmtId="0" fontId="0" fillId="0" borderId="3" xfId="0" applyBorder="1"/>
    <xf numFmtId="0" fontId="0" fillId="0" borderId="4" xfId="0" applyBorder="1"/>
  </cellXfs>
  <cellStyles count="2">
    <cellStyle name="Normal" xfId="0" builtinId="0"/>
    <cellStyle name="Percent" xfId="1" builtinId="5"/>
  </cellStyles>
  <dxfs count="14">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13"/>
      <tableStyleElement type="headerRow" dxfId="12"/>
      <tableStyleElement type="firstRowStripe" dxfId="11"/>
      <tableStyleElement type="secondRow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Where do People Understands Best?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invertIfNegative val="0"/>
          <c:cat>
            <c:strRef>
              <c:f>Summary!$A$8:$A$11</c:f>
              <c:strCache>
                <c:ptCount val="4"/>
                <c:pt idx="0">
                  <c:v>Lectures/classes</c:v>
                </c:pt>
                <c:pt idx="1">
                  <c:v>YouTube/videos</c:v>
                </c:pt>
                <c:pt idx="2">
                  <c:v>Self-study (notes/books)</c:v>
                </c:pt>
                <c:pt idx="3">
                  <c:v>Friends/peers</c:v>
                </c:pt>
              </c:strCache>
            </c:strRef>
          </c:cat>
          <c:val>
            <c:numRef>
              <c:f>Summary!$B$8:$B$11</c:f>
              <c:numCache>
                <c:formatCode>General</c:formatCode>
                <c:ptCount val="4"/>
                <c:pt idx="0">
                  <c:v>3</c:v>
                </c:pt>
                <c:pt idx="1">
                  <c:v>15</c:v>
                </c:pt>
                <c:pt idx="2">
                  <c:v>12</c:v>
                </c:pt>
                <c:pt idx="3">
                  <c:v>6</c:v>
                </c:pt>
              </c:numCache>
            </c:numRef>
          </c:val>
          <c:extLst>
            <c:ext xmlns:c16="http://schemas.microsoft.com/office/drawing/2014/chart" uri="{C3380CC4-5D6E-409C-BE32-E72D297353CC}">
              <c16:uniqueId val="{00000000-92EC-489E-8804-72F098CD187E}"/>
            </c:ext>
          </c:extLst>
        </c:ser>
        <c:dLbls>
          <c:showLegendKey val="0"/>
          <c:showVal val="0"/>
          <c:showCatName val="0"/>
          <c:showSerName val="0"/>
          <c:showPercent val="0"/>
          <c:showBubbleSize val="0"/>
        </c:dLbls>
        <c:gapWidth val="115"/>
        <c:overlap val="-20"/>
        <c:axId val="1845924271"/>
        <c:axId val="1845925231"/>
      </c:barChart>
      <c:catAx>
        <c:axId val="18459242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925231"/>
        <c:crosses val="autoZero"/>
        <c:auto val="1"/>
        <c:lblAlgn val="ctr"/>
        <c:lblOffset val="100"/>
        <c:noMultiLvlLbl val="0"/>
      </c:catAx>
      <c:valAx>
        <c:axId val="1845925231"/>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924271"/>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alpha val="5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people</a:t>
            </a:r>
            <a:r>
              <a:rPr lang="en-IN" baseline="0"/>
              <a:t> </a:t>
            </a:r>
            <a:r>
              <a:rPr lang="en-IN"/>
              <a:t>Attend</a:t>
            </a:r>
            <a:r>
              <a:rPr lang="en-IN" baseline="0"/>
              <a:t> lectures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401-4F9D-8351-AA029E2C946D}"/>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401-4F9D-8351-AA029E2C946D}"/>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401-4F9D-8351-AA029E2C946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Summary!$A$14:$A$16</c:f>
              <c:strCache>
                <c:ptCount val="3"/>
                <c:pt idx="0">
                  <c:v>Almost always</c:v>
                </c:pt>
                <c:pt idx="1">
                  <c:v>Sometimes</c:v>
                </c:pt>
                <c:pt idx="2">
                  <c:v>Rarely</c:v>
                </c:pt>
              </c:strCache>
            </c:strRef>
          </c:cat>
          <c:val>
            <c:numRef>
              <c:f>Summary!$B$14:$B$16</c:f>
              <c:numCache>
                <c:formatCode>General</c:formatCode>
                <c:ptCount val="3"/>
                <c:pt idx="0">
                  <c:v>15</c:v>
                </c:pt>
                <c:pt idx="1">
                  <c:v>19</c:v>
                </c:pt>
                <c:pt idx="2">
                  <c:v>2</c:v>
                </c:pt>
              </c:numCache>
            </c:numRef>
          </c:val>
          <c:extLst>
            <c:ext xmlns:c16="http://schemas.microsoft.com/office/drawing/2014/chart" uri="{C3380CC4-5D6E-409C-BE32-E72D297353CC}">
              <c16:uniqueId val="{00000006-2401-4F9D-8351-AA029E2C946D}"/>
            </c:ext>
          </c:extLst>
        </c:ser>
        <c:ser>
          <c:idx val="1"/>
          <c:order val="1"/>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2401-4F9D-8351-AA029E2C946D}"/>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2401-4F9D-8351-AA029E2C946D}"/>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2401-4F9D-8351-AA029E2C946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Summary!$A$14:$A$16</c:f>
              <c:strCache>
                <c:ptCount val="3"/>
                <c:pt idx="0">
                  <c:v>Almost always</c:v>
                </c:pt>
                <c:pt idx="1">
                  <c:v>Sometimes</c:v>
                </c:pt>
                <c:pt idx="2">
                  <c:v>Rarely</c:v>
                </c:pt>
              </c:strCache>
            </c:strRef>
          </c:cat>
          <c:val>
            <c:numRef>
              <c:f>Summary!$C$14:$C$16</c:f>
              <c:numCache>
                <c:formatCode>0.00</c:formatCode>
                <c:ptCount val="3"/>
                <c:pt idx="0">
                  <c:v>41.666666666666671</c:v>
                </c:pt>
                <c:pt idx="1">
                  <c:v>52.777777777777779</c:v>
                </c:pt>
                <c:pt idx="2">
                  <c:v>5.5555555555555554</c:v>
                </c:pt>
              </c:numCache>
            </c:numRef>
          </c:val>
          <c:extLst>
            <c:ext xmlns:c16="http://schemas.microsoft.com/office/drawing/2014/chart" uri="{C3380CC4-5D6E-409C-BE32-E72D297353CC}">
              <c16:uniqueId val="{0000000D-2401-4F9D-8351-AA029E2C946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alpha val="5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When do Real Study Happens?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5">
                <a:lumMod val="75000"/>
              </a:schemeClr>
            </a:solidFill>
            <a:ln>
              <a:noFill/>
            </a:ln>
            <a:effectLst/>
          </c:spPr>
          <c:invertIfNegative val="0"/>
          <c:cat>
            <c:strRef>
              <c:f>Summary!$A$29:$A$32</c:f>
              <c:strCache>
                <c:ptCount val="4"/>
                <c:pt idx="0">
                  <c:v>During class</c:v>
                </c:pt>
                <c:pt idx="1">
                  <c:v>Right before exams</c:v>
                </c:pt>
                <c:pt idx="2">
                  <c:v>After class</c:v>
                </c:pt>
                <c:pt idx="3">
                  <c:v>Late at night</c:v>
                </c:pt>
              </c:strCache>
            </c:strRef>
          </c:cat>
          <c:val>
            <c:numRef>
              <c:f>Summary!$B$29:$B$32</c:f>
              <c:numCache>
                <c:formatCode>General</c:formatCode>
                <c:ptCount val="4"/>
                <c:pt idx="0">
                  <c:v>1</c:v>
                </c:pt>
                <c:pt idx="1">
                  <c:v>17</c:v>
                </c:pt>
                <c:pt idx="2">
                  <c:v>7</c:v>
                </c:pt>
                <c:pt idx="3">
                  <c:v>11</c:v>
                </c:pt>
              </c:numCache>
            </c:numRef>
          </c:val>
          <c:extLst>
            <c:ext xmlns:c16="http://schemas.microsoft.com/office/drawing/2014/chart" uri="{C3380CC4-5D6E-409C-BE32-E72D297353CC}">
              <c16:uniqueId val="{00000000-13D9-4DCA-B807-9C957D3B533B}"/>
            </c:ext>
          </c:extLst>
        </c:ser>
        <c:dLbls>
          <c:showLegendKey val="0"/>
          <c:showVal val="0"/>
          <c:showCatName val="0"/>
          <c:showSerName val="0"/>
          <c:showPercent val="0"/>
          <c:showBubbleSize val="0"/>
        </c:dLbls>
        <c:gapWidth val="219"/>
        <c:overlap val="-27"/>
        <c:axId val="125769808"/>
        <c:axId val="125767888"/>
      </c:barChart>
      <c:catAx>
        <c:axId val="12576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67888"/>
        <c:crosses val="autoZero"/>
        <c:auto val="1"/>
        <c:lblAlgn val="ctr"/>
        <c:lblOffset val="100"/>
        <c:noMultiLvlLbl val="0"/>
      </c:catAx>
      <c:valAx>
        <c:axId val="12576788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69808"/>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alpha val="5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Are</a:t>
            </a:r>
            <a:r>
              <a:rPr lang="en-IN" baseline="0"/>
              <a:t> lectures enough?</a:t>
            </a:r>
            <a:endParaRPr lang="en-IN"/>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C22-461F-AB5A-C125F8EA9FD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C22-461F-AB5A-C125F8EA9FD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C22-461F-AB5A-C125F8EA9FD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Summary!$A$41:$A$43</c:f>
              <c:strCache>
                <c:ptCount val="3"/>
                <c:pt idx="0">
                  <c:v>Yes</c:v>
                </c:pt>
                <c:pt idx="1">
                  <c:v>No</c:v>
                </c:pt>
                <c:pt idx="2">
                  <c:v>Not sure</c:v>
                </c:pt>
              </c:strCache>
            </c:strRef>
          </c:cat>
          <c:val>
            <c:numRef>
              <c:f>Summary!$B$41:$B$43</c:f>
              <c:numCache>
                <c:formatCode>General</c:formatCode>
                <c:ptCount val="3"/>
                <c:pt idx="0">
                  <c:v>5</c:v>
                </c:pt>
                <c:pt idx="1">
                  <c:v>30</c:v>
                </c:pt>
                <c:pt idx="2">
                  <c:v>1</c:v>
                </c:pt>
              </c:numCache>
            </c:numRef>
          </c:val>
          <c:extLst>
            <c:ext xmlns:c16="http://schemas.microsoft.com/office/drawing/2014/chart" uri="{C3380CC4-5D6E-409C-BE32-E72D297353CC}">
              <c16:uniqueId val="{00000006-1C22-461F-AB5A-C125F8EA9FD7}"/>
            </c:ext>
          </c:extLst>
        </c:ser>
        <c:ser>
          <c:idx val="1"/>
          <c:order val="1"/>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1C22-461F-AB5A-C125F8EA9FD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1C22-461F-AB5A-C125F8EA9FD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1C22-461F-AB5A-C125F8EA9FD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Summary!$A$41:$A$43</c:f>
              <c:strCache>
                <c:ptCount val="3"/>
                <c:pt idx="0">
                  <c:v>Yes</c:v>
                </c:pt>
                <c:pt idx="1">
                  <c:v>No</c:v>
                </c:pt>
                <c:pt idx="2">
                  <c:v>Not sure</c:v>
                </c:pt>
              </c:strCache>
            </c:strRef>
          </c:cat>
          <c:val>
            <c:numRef>
              <c:f>Summary!$C$41:$C$43</c:f>
              <c:numCache>
                <c:formatCode>0.00</c:formatCode>
                <c:ptCount val="3"/>
                <c:pt idx="0">
                  <c:v>13.888888888888889</c:v>
                </c:pt>
                <c:pt idx="1">
                  <c:v>83.333333333333343</c:v>
                </c:pt>
                <c:pt idx="2">
                  <c:v>2.7777777777777777</c:v>
                </c:pt>
              </c:numCache>
            </c:numRef>
          </c:val>
          <c:extLst>
            <c:ext xmlns:c16="http://schemas.microsoft.com/office/drawing/2014/chart" uri="{C3380CC4-5D6E-409C-BE32-E72D297353CC}">
              <c16:uniqueId val="{0000000D-1C22-461F-AB5A-C125F8EA9FD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alpha val="5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106680</xdr:colOff>
      <xdr:row>4</xdr:row>
      <xdr:rowOff>0</xdr:rowOff>
    </xdr:from>
    <xdr:to>
      <xdr:col>0</xdr:col>
      <xdr:colOff>4678680</xdr:colOff>
      <xdr:row>20</xdr:row>
      <xdr:rowOff>60960</xdr:rowOff>
    </xdr:to>
    <xdr:graphicFrame macro="">
      <xdr:nvGraphicFramePr>
        <xdr:cNvPr id="2" name="Chart 1">
          <a:extLst>
            <a:ext uri="{FF2B5EF4-FFF2-40B4-BE49-F238E27FC236}">
              <a16:creationId xmlns:a16="http://schemas.microsoft.com/office/drawing/2014/main" id="{8AD05721-55C2-4D84-9AF9-687C778F7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96590</xdr:colOff>
      <xdr:row>21</xdr:row>
      <xdr:rowOff>160986</xdr:rowOff>
    </xdr:from>
    <xdr:to>
      <xdr:col>0</xdr:col>
      <xdr:colOff>4668590</xdr:colOff>
      <xdr:row>37</xdr:row>
      <xdr:rowOff>156693</xdr:rowOff>
    </xdr:to>
    <xdr:graphicFrame macro="">
      <xdr:nvGraphicFramePr>
        <xdr:cNvPr id="4" name="Chart 3">
          <a:extLst>
            <a:ext uri="{FF2B5EF4-FFF2-40B4-BE49-F238E27FC236}">
              <a16:creationId xmlns:a16="http://schemas.microsoft.com/office/drawing/2014/main" id="{0828B22F-9C08-455D-A727-F1697FFFC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321972</xdr:colOff>
      <xdr:row>22</xdr:row>
      <xdr:rowOff>10732</xdr:rowOff>
    </xdr:from>
    <xdr:to>
      <xdr:col>9</xdr:col>
      <xdr:colOff>182451</xdr:colOff>
      <xdr:row>38</xdr:row>
      <xdr:rowOff>6439</xdr:rowOff>
    </xdr:to>
    <xdr:graphicFrame macro="">
      <xdr:nvGraphicFramePr>
        <xdr:cNvPr id="5" name="Chart 4">
          <a:extLst>
            <a:ext uri="{FF2B5EF4-FFF2-40B4-BE49-F238E27FC236}">
              <a16:creationId xmlns:a16="http://schemas.microsoft.com/office/drawing/2014/main" id="{70723F86-0688-482F-8F92-27E6E098F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321971</xdr:colOff>
      <xdr:row>4</xdr:row>
      <xdr:rowOff>0</xdr:rowOff>
    </xdr:from>
    <xdr:to>
      <xdr:col>9</xdr:col>
      <xdr:colOff>182452</xdr:colOff>
      <xdr:row>20</xdr:row>
      <xdr:rowOff>60101</xdr:rowOff>
    </xdr:to>
    <xdr:graphicFrame macro="">
      <xdr:nvGraphicFramePr>
        <xdr:cNvPr id="6" name="Chart 5">
          <a:extLst>
            <a:ext uri="{FF2B5EF4-FFF2-40B4-BE49-F238E27FC236}">
              <a16:creationId xmlns:a16="http://schemas.microsoft.com/office/drawing/2014/main" id="{1B1955CB-F440-4225-92F3-27AF5D369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_Data" displayName="Raw_Data" ref="A1:J38" totalsRowCount="1">
  <tableColumns count="10">
    <tableColumn id="1" xr3:uid="{00000000-0010-0000-0000-000001000000}" name="Timestamp" totalsRowDxfId="9"/>
    <tableColumn id="2" xr3:uid="{00000000-0010-0000-0000-000002000000}" name="Which group do you fall into? " totalsRowDxfId="8"/>
    <tableColumn id="3" xr3:uid="{00000000-0010-0000-0000-000003000000}" name="Be honest—where do you actually understand things the best?  " totalsRowDxfId="7"/>
    <tableColumn id="4" xr3:uid="{00000000-0010-0000-0000-000004000000}" name="How often do you attend classes/lectures?  " totalsRowDxfId="6"/>
    <tableColumn id="5" xr3:uid="{00000000-0010-0000-0000-000005000000}" name="How much do you actually understand during those classes?  " totalsRowDxfId="5"/>
    <tableColumn id="6" xr3:uid="{00000000-0010-0000-0000-000006000000}" name="After a class, do you usually go online(YouTube,etc.) to understand the same topic better?" totalsRowDxfId="4"/>
    <tableColumn id="7" xr3:uid="{00000000-0010-0000-0000-000007000000}" name="When do you feel your ‘real’ studying happens?  " totalsRowDxfId="3"/>
    <tableColumn id="8" xr3:uid="{00000000-0010-0000-0000-000008000000}" name="What actually helps you learn faster?  " totalsRowDxfId="2"/>
    <tableColumn id="9" xr3:uid="{00000000-0010-0000-0000-000009000000}" name="Do you feel lectures alone are enough to build real skills?  " totalsRowDxfId="1"/>
    <tableColumn id="10" xr3:uid="{00000000-0010-0000-0000-00000A000000}" name="Anything you want to say about how you actually learn?  " totalsRowDxfId="0"/>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38"/>
  <sheetViews>
    <sheetView topLeftCell="F1" workbookViewId="0">
      <pane ySplit="1" topLeftCell="A23" activePane="bottomLeft" state="frozen"/>
      <selection pane="bottomLeft" activeCell="H28" sqref="H28"/>
    </sheetView>
  </sheetViews>
  <sheetFormatPr defaultColWidth="12.6640625" defaultRowHeight="15.75" customHeight="1" x14ac:dyDescent="0.25"/>
  <cols>
    <col min="1" max="1" width="18.88671875" customWidth="1"/>
    <col min="2" max="2" width="26.6640625" customWidth="1"/>
    <col min="3" max="3" width="37.6640625" customWidth="1"/>
    <col min="4" max="4" width="37.109375" customWidth="1"/>
    <col min="5" max="7" width="37.6640625" customWidth="1"/>
    <col min="8" max="8" width="32.6640625" customWidth="1"/>
    <col min="9" max="10" width="37.6640625" customWidth="1"/>
    <col min="11" max="16" width="18.88671875" customWidth="1"/>
  </cols>
  <sheetData>
    <row r="1" spans="1:10" ht="22.5" customHeight="1" x14ac:dyDescent="0.25">
      <c r="A1" s="1" t="s">
        <v>0</v>
      </c>
      <c r="B1" s="1" t="s">
        <v>1</v>
      </c>
      <c r="C1" s="1" t="s">
        <v>2</v>
      </c>
      <c r="D1" s="1" t="s">
        <v>3</v>
      </c>
      <c r="E1" s="1" t="s">
        <v>4</v>
      </c>
      <c r="F1" s="1" t="s">
        <v>5</v>
      </c>
      <c r="G1" s="1" t="s">
        <v>6</v>
      </c>
      <c r="H1" s="1" t="s">
        <v>7</v>
      </c>
      <c r="I1" s="1" t="s">
        <v>8</v>
      </c>
      <c r="J1" s="1" t="s">
        <v>9</v>
      </c>
    </row>
    <row r="2" spans="1:10" ht="22.5" customHeight="1" x14ac:dyDescent="0.25">
      <c r="A2" s="2">
        <v>46103.106706226856</v>
      </c>
      <c r="B2" s="3" t="s">
        <v>10</v>
      </c>
      <c r="C2" s="3" t="s">
        <v>11</v>
      </c>
      <c r="D2" s="3" t="s">
        <v>12</v>
      </c>
      <c r="E2" s="3" t="s">
        <v>13</v>
      </c>
      <c r="F2" s="3" t="s">
        <v>12</v>
      </c>
      <c r="G2" s="3" t="s">
        <v>14</v>
      </c>
      <c r="H2" s="3" t="s">
        <v>15</v>
      </c>
      <c r="I2" s="3" t="s">
        <v>16</v>
      </c>
      <c r="J2" s="3" t="s">
        <v>17</v>
      </c>
    </row>
    <row r="3" spans="1:10" ht="22.5" customHeight="1" x14ac:dyDescent="0.25">
      <c r="A3" s="2">
        <v>46103.109016435184</v>
      </c>
      <c r="B3" s="3" t="s">
        <v>10</v>
      </c>
      <c r="C3" s="3" t="s">
        <v>18</v>
      </c>
      <c r="D3" s="3" t="s">
        <v>12</v>
      </c>
      <c r="E3" s="3" t="s">
        <v>13</v>
      </c>
      <c r="F3" s="3" t="s">
        <v>12</v>
      </c>
      <c r="G3" s="3" t="s">
        <v>14</v>
      </c>
      <c r="H3" s="3" t="s">
        <v>19</v>
      </c>
      <c r="I3" s="3" t="s">
        <v>16</v>
      </c>
      <c r="J3" s="3" t="s">
        <v>16</v>
      </c>
    </row>
    <row r="4" spans="1:10" ht="22.5" customHeight="1" x14ac:dyDescent="0.25">
      <c r="A4" s="2">
        <v>46103.112028611111</v>
      </c>
      <c r="B4" s="3" t="s">
        <v>10</v>
      </c>
      <c r="C4" s="3" t="s">
        <v>18</v>
      </c>
      <c r="D4" s="3" t="s">
        <v>20</v>
      </c>
      <c r="E4" s="3" t="s">
        <v>13</v>
      </c>
      <c r="F4" s="3" t="s">
        <v>12</v>
      </c>
      <c r="G4" s="3" t="s">
        <v>21</v>
      </c>
      <c r="H4" s="3" t="s">
        <v>15</v>
      </c>
      <c r="I4" s="3" t="s">
        <v>16</v>
      </c>
      <c r="J4" s="3" t="s">
        <v>22</v>
      </c>
    </row>
    <row r="5" spans="1:10" ht="22.5" customHeight="1" x14ac:dyDescent="0.25">
      <c r="A5" s="2">
        <v>46103.112609108794</v>
      </c>
      <c r="B5" s="3" t="s">
        <v>10</v>
      </c>
      <c r="C5" s="3" t="s">
        <v>23</v>
      </c>
      <c r="D5" s="3" t="s">
        <v>24</v>
      </c>
      <c r="E5" s="3" t="s">
        <v>25</v>
      </c>
      <c r="F5" s="3" t="s">
        <v>12</v>
      </c>
      <c r="G5" s="3" t="s">
        <v>21</v>
      </c>
      <c r="H5" s="3" t="s">
        <v>15</v>
      </c>
      <c r="I5" s="3" t="s">
        <v>16</v>
      </c>
      <c r="J5" s="3" t="s">
        <v>16</v>
      </c>
    </row>
    <row r="6" spans="1:10" ht="22.5" customHeight="1" x14ac:dyDescent="0.25">
      <c r="A6" s="2">
        <v>46103.112799826384</v>
      </c>
      <c r="B6" s="3" t="s">
        <v>26</v>
      </c>
      <c r="C6" s="3" t="s">
        <v>23</v>
      </c>
      <c r="D6" s="3" t="s">
        <v>12</v>
      </c>
      <c r="E6" s="3" t="s">
        <v>27</v>
      </c>
      <c r="F6" s="3" t="s">
        <v>12</v>
      </c>
      <c r="G6" s="3" t="s">
        <v>21</v>
      </c>
      <c r="H6" s="3" t="s">
        <v>28</v>
      </c>
      <c r="I6" s="3" t="s">
        <v>16</v>
      </c>
      <c r="J6" s="3"/>
    </row>
    <row r="7" spans="1:10" ht="22.5" customHeight="1" x14ac:dyDescent="0.25">
      <c r="A7" s="2">
        <v>46103.144534212959</v>
      </c>
      <c r="B7" s="3" t="s">
        <v>10</v>
      </c>
      <c r="C7" s="3" t="s">
        <v>11</v>
      </c>
      <c r="D7" s="3" t="s">
        <v>12</v>
      </c>
      <c r="E7" s="3" t="s">
        <v>13</v>
      </c>
      <c r="F7" s="3" t="s">
        <v>12</v>
      </c>
      <c r="G7" s="3" t="s">
        <v>29</v>
      </c>
      <c r="H7" s="3" t="s">
        <v>30</v>
      </c>
      <c r="I7" s="3" t="s">
        <v>16</v>
      </c>
      <c r="J7" s="3" t="s">
        <v>16</v>
      </c>
    </row>
    <row r="8" spans="1:10" ht="22.5" customHeight="1" x14ac:dyDescent="0.25">
      <c r="A8" s="2">
        <v>46103.297597384255</v>
      </c>
      <c r="B8" s="3" t="s">
        <v>10</v>
      </c>
      <c r="C8" s="3" t="s">
        <v>23</v>
      </c>
      <c r="D8" s="3" t="s">
        <v>20</v>
      </c>
      <c r="E8" s="3" t="s">
        <v>13</v>
      </c>
      <c r="F8" s="3" t="s">
        <v>12</v>
      </c>
      <c r="G8" s="3" t="s">
        <v>14</v>
      </c>
      <c r="H8" s="3" t="s">
        <v>30</v>
      </c>
      <c r="I8" s="3" t="s">
        <v>16</v>
      </c>
      <c r="J8" s="3"/>
    </row>
    <row r="9" spans="1:10" ht="22.5" customHeight="1" x14ac:dyDescent="0.25">
      <c r="A9" s="2">
        <v>46103.326035057871</v>
      </c>
      <c r="B9" s="3" t="s">
        <v>10</v>
      </c>
      <c r="C9" s="3" t="s">
        <v>11</v>
      </c>
      <c r="D9" s="3" t="s">
        <v>12</v>
      </c>
      <c r="E9" s="3" t="s">
        <v>13</v>
      </c>
      <c r="F9" s="3" t="s">
        <v>20</v>
      </c>
      <c r="G9" s="3" t="s">
        <v>14</v>
      </c>
      <c r="H9" s="3" t="s">
        <v>15</v>
      </c>
      <c r="I9" s="3" t="s">
        <v>16</v>
      </c>
      <c r="J9" s="3"/>
    </row>
    <row r="10" spans="1:10" ht="22.5" customHeight="1" x14ac:dyDescent="0.25">
      <c r="A10" s="2">
        <v>46103.32767219907</v>
      </c>
      <c r="B10" s="3" t="s">
        <v>10</v>
      </c>
      <c r="C10" s="3" t="s">
        <v>31</v>
      </c>
      <c r="D10" s="3" t="s">
        <v>12</v>
      </c>
      <c r="E10" s="3" t="s">
        <v>13</v>
      </c>
      <c r="F10" s="3" t="s">
        <v>12</v>
      </c>
      <c r="G10" s="3" t="s">
        <v>21</v>
      </c>
      <c r="H10" s="3" t="s">
        <v>28</v>
      </c>
      <c r="I10" s="3" t="s">
        <v>16</v>
      </c>
      <c r="J10" s="3" t="s">
        <v>16</v>
      </c>
    </row>
    <row r="11" spans="1:10" ht="22.5" customHeight="1" x14ac:dyDescent="0.25">
      <c r="A11" s="2">
        <v>46103.373123460653</v>
      </c>
      <c r="B11" s="3" t="s">
        <v>10</v>
      </c>
      <c r="C11" s="3" t="s">
        <v>18</v>
      </c>
      <c r="D11" s="3" t="s">
        <v>12</v>
      </c>
      <c r="E11" s="3" t="s">
        <v>13</v>
      </c>
      <c r="F11" s="3" t="s">
        <v>12</v>
      </c>
      <c r="G11" s="3" t="s">
        <v>21</v>
      </c>
      <c r="H11" s="3" t="s">
        <v>30</v>
      </c>
      <c r="I11" s="3" t="s">
        <v>32</v>
      </c>
      <c r="J11" s="3"/>
    </row>
    <row r="12" spans="1:10" ht="22.5" customHeight="1" x14ac:dyDescent="0.25">
      <c r="A12" s="2">
        <v>46103.378048171297</v>
      </c>
      <c r="B12" s="3" t="s">
        <v>10</v>
      </c>
      <c r="C12" s="3" t="s">
        <v>18</v>
      </c>
      <c r="D12" s="3" t="s">
        <v>12</v>
      </c>
      <c r="E12" s="3" t="s">
        <v>13</v>
      </c>
      <c r="F12" s="3" t="s">
        <v>12</v>
      </c>
      <c r="G12" s="3" t="s">
        <v>29</v>
      </c>
      <c r="H12" s="3" t="s">
        <v>30</v>
      </c>
      <c r="I12" s="3" t="s">
        <v>16</v>
      </c>
      <c r="J12" s="3" t="s">
        <v>33</v>
      </c>
    </row>
    <row r="13" spans="1:10" ht="22.5" customHeight="1" x14ac:dyDescent="0.25">
      <c r="A13" s="2">
        <v>46103.393216979166</v>
      </c>
      <c r="B13" s="3" t="s">
        <v>10</v>
      </c>
      <c r="C13" s="3" t="s">
        <v>11</v>
      </c>
      <c r="D13" s="3" t="s">
        <v>12</v>
      </c>
      <c r="E13" s="3" t="s">
        <v>25</v>
      </c>
      <c r="F13" s="3" t="s">
        <v>20</v>
      </c>
      <c r="G13" s="3" t="s">
        <v>14</v>
      </c>
      <c r="H13" s="3" t="s">
        <v>15</v>
      </c>
      <c r="I13" s="3" t="s">
        <v>16</v>
      </c>
      <c r="J13" s="3" t="s">
        <v>34</v>
      </c>
    </row>
    <row r="14" spans="1:10" ht="22.5" customHeight="1" x14ac:dyDescent="0.25">
      <c r="A14" s="2">
        <v>46103.398346076385</v>
      </c>
      <c r="B14" s="3" t="s">
        <v>10</v>
      </c>
      <c r="C14" s="3" t="s">
        <v>18</v>
      </c>
      <c r="D14" s="3" t="s">
        <v>20</v>
      </c>
      <c r="E14" s="3" t="s">
        <v>25</v>
      </c>
      <c r="F14" s="3" t="s">
        <v>12</v>
      </c>
      <c r="G14" s="3" t="s">
        <v>14</v>
      </c>
      <c r="H14" s="3" t="s">
        <v>30</v>
      </c>
      <c r="I14" s="3" t="s">
        <v>16</v>
      </c>
      <c r="J14" s="3" t="s">
        <v>35</v>
      </c>
    </row>
    <row r="15" spans="1:10" ht="22.5" customHeight="1" x14ac:dyDescent="0.25">
      <c r="A15" s="2">
        <v>46103.424571967596</v>
      </c>
      <c r="B15" s="3" t="s">
        <v>10</v>
      </c>
      <c r="C15" s="3" t="s">
        <v>11</v>
      </c>
      <c r="D15" s="3" t="s">
        <v>12</v>
      </c>
      <c r="E15" s="3" t="s">
        <v>13</v>
      </c>
      <c r="F15" s="3" t="s">
        <v>20</v>
      </c>
      <c r="G15" s="3" t="s">
        <v>14</v>
      </c>
      <c r="H15" s="3" t="s">
        <v>30</v>
      </c>
      <c r="I15" s="3" t="s">
        <v>16</v>
      </c>
      <c r="J15" s="3" t="s">
        <v>36</v>
      </c>
    </row>
    <row r="16" spans="1:10" ht="22.5" customHeight="1" x14ac:dyDescent="0.25">
      <c r="A16" s="2">
        <v>46103.443498344903</v>
      </c>
      <c r="B16" s="3" t="s">
        <v>10</v>
      </c>
      <c r="C16" s="3" t="s">
        <v>31</v>
      </c>
      <c r="D16" s="3" t="s">
        <v>12</v>
      </c>
      <c r="E16" s="3" t="s">
        <v>13</v>
      </c>
      <c r="F16" s="3" t="s">
        <v>12</v>
      </c>
      <c r="G16" s="3" t="s">
        <v>14</v>
      </c>
      <c r="H16" s="3" t="s">
        <v>30</v>
      </c>
      <c r="I16" s="3" t="s">
        <v>37</v>
      </c>
      <c r="J16" s="3"/>
    </row>
    <row r="17" spans="1:10" ht="22.5" customHeight="1" x14ac:dyDescent="0.25">
      <c r="A17" s="2">
        <v>46103.483753159722</v>
      </c>
      <c r="B17" s="3" t="s">
        <v>10</v>
      </c>
      <c r="C17" s="3" t="s">
        <v>18</v>
      </c>
      <c r="D17" s="3" t="s">
        <v>20</v>
      </c>
      <c r="E17" s="3" t="s">
        <v>27</v>
      </c>
      <c r="F17" s="3" t="s">
        <v>24</v>
      </c>
      <c r="G17" s="3" t="s">
        <v>14</v>
      </c>
      <c r="H17" s="3" t="s">
        <v>30</v>
      </c>
      <c r="I17" s="3" t="s">
        <v>16</v>
      </c>
      <c r="J17" s="3"/>
    </row>
    <row r="18" spans="1:10" ht="22.5" customHeight="1" x14ac:dyDescent="0.25">
      <c r="A18" s="2">
        <v>46103.500613414348</v>
      </c>
      <c r="B18" s="3" t="s">
        <v>38</v>
      </c>
      <c r="C18" s="3" t="s">
        <v>18</v>
      </c>
      <c r="D18" s="3" t="s">
        <v>20</v>
      </c>
      <c r="E18" s="3" t="s">
        <v>27</v>
      </c>
      <c r="F18" s="3" t="s">
        <v>12</v>
      </c>
      <c r="G18" s="3" t="s">
        <v>29</v>
      </c>
      <c r="H18" s="3" t="s">
        <v>28</v>
      </c>
      <c r="I18" s="3" t="s">
        <v>32</v>
      </c>
      <c r="J18" s="3" t="s">
        <v>39</v>
      </c>
    </row>
    <row r="19" spans="1:10" ht="22.5" customHeight="1" x14ac:dyDescent="0.25">
      <c r="A19" s="2">
        <v>46103.502868368058</v>
      </c>
      <c r="B19" s="3" t="s">
        <v>38</v>
      </c>
      <c r="C19" s="3" t="s">
        <v>18</v>
      </c>
      <c r="D19" s="3" t="s">
        <v>20</v>
      </c>
      <c r="E19" s="3" t="s">
        <v>27</v>
      </c>
      <c r="F19" s="3" t="s">
        <v>12</v>
      </c>
      <c r="G19" s="3" t="s">
        <v>29</v>
      </c>
      <c r="H19" s="3" t="s">
        <v>28</v>
      </c>
      <c r="I19" s="3" t="s">
        <v>32</v>
      </c>
      <c r="J19" s="3" t="s">
        <v>40</v>
      </c>
    </row>
    <row r="20" spans="1:10" ht="22.5" customHeight="1" x14ac:dyDescent="0.25">
      <c r="A20" s="2">
        <v>46103.516461504631</v>
      </c>
      <c r="B20" s="3" t="s">
        <v>10</v>
      </c>
      <c r="C20" s="3" t="s">
        <v>18</v>
      </c>
      <c r="D20" s="3" t="s">
        <v>20</v>
      </c>
      <c r="E20" s="3" t="s">
        <v>13</v>
      </c>
      <c r="F20" s="3" t="s">
        <v>12</v>
      </c>
      <c r="G20" s="3" t="s">
        <v>14</v>
      </c>
      <c r="H20" s="3" t="s">
        <v>19</v>
      </c>
      <c r="I20" s="3" t="s">
        <v>16</v>
      </c>
      <c r="J20" s="3"/>
    </row>
    <row r="21" spans="1:10" ht="22.5" customHeight="1" x14ac:dyDescent="0.25">
      <c r="A21" s="2">
        <v>46103.534409351851</v>
      </c>
      <c r="B21" s="3" t="s">
        <v>10</v>
      </c>
      <c r="C21" s="3" t="s">
        <v>31</v>
      </c>
      <c r="D21" s="3" t="s">
        <v>24</v>
      </c>
      <c r="E21" s="3" t="s">
        <v>25</v>
      </c>
      <c r="F21" s="3" t="s">
        <v>12</v>
      </c>
      <c r="G21" s="3" t="s">
        <v>14</v>
      </c>
      <c r="H21" s="3" t="s">
        <v>30</v>
      </c>
      <c r="I21" s="3" t="s">
        <v>16</v>
      </c>
      <c r="J21" s="3" t="s">
        <v>16</v>
      </c>
    </row>
    <row r="22" spans="1:10" ht="22.5" customHeight="1" x14ac:dyDescent="0.25">
      <c r="A22" s="2">
        <v>46103.568733321757</v>
      </c>
      <c r="B22" s="3" t="s">
        <v>38</v>
      </c>
      <c r="C22" s="3" t="s">
        <v>18</v>
      </c>
      <c r="D22" s="3" t="s">
        <v>12</v>
      </c>
      <c r="E22" s="3" t="s">
        <v>13</v>
      </c>
      <c r="F22" s="3" t="s">
        <v>12</v>
      </c>
      <c r="G22" s="3" t="s">
        <v>21</v>
      </c>
      <c r="H22" s="3" t="s">
        <v>15</v>
      </c>
      <c r="I22" s="3" t="s">
        <v>32</v>
      </c>
      <c r="J22" s="3" t="s">
        <v>41</v>
      </c>
    </row>
    <row r="23" spans="1:10" ht="22.5" customHeight="1" x14ac:dyDescent="0.25">
      <c r="A23" s="2">
        <v>46103.576843483796</v>
      </c>
      <c r="B23" s="3" t="s">
        <v>10</v>
      </c>
      <c r="C23" s="3" t="s">
        <v>11</v>
      </c>
      <c r="D23" s="3" t="s">
        <v>12</v>
      </c>
      <c r="E23" s="3" t="s">
        <v>13</v>
      </c>
      <c r="F23" s="3" t="s">
        <v>20</v>
      </c>
      <c r="G23" s="3" t="s">
        <v>14</v>
      </c>
      <c r="H23" s="3" t="s">
        <v>15</v>
      </c>
      <c r="I23" s="3" t="s">
        <v>16</v>
      </c>
      <c r="J23" s="3" t="s">
        <v>42</v>
      </c>
    </row>
    <row r="24" spans="1:10" ht="22.5" customHeight="1" x14ac:dyDescent="0.25">
      <c r="A24" s="2">
        <v>46103.5826078588</v>
      </c>
      <c r="B24" s="3" t="s">
        <v>10</v>
      </c>
      <c r="C24" s="3" t="s">
        <v>11</v>
      </c>
      <c r="D24" s="3" t="s">
        <v>12</v>
      </c>
      <c r="E24" s="3" t="s">
        <v>25</v>
      </c>
      <c r="F24" s="3" t="s">
        <v>12</v>
      </c>
      <c r="G24" s="3" t="s">
        <v>14</v>
      </c>
      <c r="H24" s="3" t="s">
        <v>15</v>
      </c>
      <c r="I24" s="3" t="s">
        <v>16</v>
      </c>
      <c r="J24" s="3" t="s">
        <v>43</v>
      </c>
    </row>
    <row r="25" spans="1:10" ht="22.5" customHeight="1" x14ac:dyDescent="0.25">
      <c r="A25" s="2">
        <v>46103.585238229163</v>
      </c>
      <c r="B25" s="3" t="s">
        <v>26</v>
      </c>
      <c r="C25" s="3" t="s">
        <v>31</v>
      </c>
      <c r="D25" s="3" t="s">
        <v>20</v>
      </c>
      <c r="E25" s="3" t="s">
        <v>13</v>
      </c>
      <c r="F25" s="3" t="s">
        <v>20</v>
      </c>
      <c r="G25" s="3" t="s">
        <v>14</v>
      </c>
      <c r="H25" s="3" t="s">
        <v>28</v>
      </c>
      <c r="I25" s="3" t="s">
        <v>32</v>
      </c>
      <c r="J25" s="3" t="s">
        <v>44</v>
      </c>
    </row>
    <row r="26" spans="1:10" ht="22.5" customHeight="1" x14ac:dyDescent="0.25">
      <c r="A26" s="2">
        <v>46103.586444479166</v>
      </c>
      <c r="B26" s="3" t="s">
        <v>10</v>
      </c>
      <c r="C26" s="3" t="s">
        <v>31</v>
      </c>
      <c r="D26" s="3" t="s">
        <v>12</v>
      </c>
      <c r="E26" s="3" t="s">
        <v>25</v>
      </c>
      <c r="F26" s="3" t="s">
        <v>24</v>
      </c>
      <c r="G26" s="3" t="s">
        <v>14</v>
      </c>
      <c r="H26" s="3" t="s">
        <v>19</v>
      </c>
      <c r="I26" s="3" t="s">
        <v>16</v>
      </c>
      <c r="J26" s="3" t="s">
        <v>45</v>
      </c>
    </row>
    <row r="27" spans="1:10" ht="22.5" customHeight="1" x14ac:dyDescent="0.25">
      <c r="A27" s="2">
        <v>46103.590685300922</v>
      </c>
      <c r="B27" s="3" t="s">
        <v>10</v>
      </c>
      <c r="C27" s="3" t="s">
        <v>31</v>
      </c>
      <c r="D27" s="3" t="s">
        <v>20</v>
      </c>
      <c r="E27" s="3" t="s">
        <v>27</v>
      </c>
      <c r="F27" s="3" t="s">
        <v>12</v>
      </c>
      <c r="G27" s="3" t="s">
        <v>46</v>
      </c>
      <c r="H27" s="3" t="s">
        <v>19</v>
      </c>
      <c r="I27" s="3" t="s">
        <v>16</v>
      </c>
      <c r="J27" s="3" t="s">
        <v>47</v>
      </c>
    </row>
    <row r="28" spans="1:10" ht="22.5" customHeight="1" x14ac:dyDescent="0.25">
      <c r="A28" s="2">
        <v>46103.59361762731</v>
      </c>
      <c r="B28" s="3" t="s">
        <v>10</v>
      </c>
      <c r="C28" s="3" t="s">
        <v>18</v>
      </c>
      <c r="D28" s="3" t="s">
        <v>20</v>
      </c>
      <c r="E28" s="3" t="s">
        <v>25</v>
      </c>
      <c r="F28" s="3" t="s">
        <v>12</v>
      </c>
      <c r="G28" s="3" t="s">
        <v>29</v>
      </c>
      <c r="H28" s="3" t="s">
        <v>30</v>
      </c>
      <c r="I28" s="3" t="s">
        <v>16</v>
      </c>
      <c r="J28" s="3" t="s">
        <v>48</v>
      </c>
    </row>
    <row r="29" spans="1:10" ht="22.5" customHeight="1" x14ac:dyDescent="0.25">
      <c r="A29" s="2">
        <v>46103.594741053239</v>
      </c>
      <c r="B29" s="3" t="s">
        <v>10</v>
      </c>
      <c r="C29" s="3" t="s">
        <v>11</v>
      </c>
      <c r="D29" s="3" t="s">
        <v>12</v>
      </c>
      <c r="E29" s="3" t="s">
        <v>13</v>
      </c>
      <c r="F29" s="3" t="s">
        <v>12</v>
      </c>
      <c r="G29" s="3" t="s">
        <v>29</v>
      </c>
      <c r="H29" s="3" t="s">
        <v>30</v>
      </c>
      <c r="I29" s="3" t="s">
        <v>16</v>
      </c>
      <c r="J29" s="3"/>
    </row>
    <row r="30" spans="1:10" ht="22.5" customHeight="1" x14ac:dyDescent="0.25">
      <c r="A30" s="2">
        <v>46103.602259907406</v>
      </c>
      <c r="B30" s="3" t="s">
        <v>10</v>
      </c>
      <c r="C30" s="3" t="s">
        <v>18</v>
      </c>
      <c r="D30" s="3" t="s">
        <v>20</v>
      </c>
      <c r="E30" s="3" t="s">
        <v>25</v>
      </c>
      <c r="F30" s="3" t="s">
        <v>24</v>
      </c>
      <c r="G30" s="3" t="s">
        <v>21</v>
      </c>
      <c r="H30" s="3" t="s">
        <v>28</v>
      </c>
      <c r="I30" s="3" t="s">
        <v>16</v>
      </c>
      <c r="J30" s="3"/>
    </row>
    <row r="31" spans="1:10" ht="22.5" customHeight="1" x14ac:dyDescent="0.25">
      <c r="A31" s="2">
        <v>46103.616824930556</v>
      </c>
      <c r="B31" s="3" t="s">
        <v>10</v>
      </c>
      <c r="C31" s="3" t="s">
        <v>11</v>
      </c>
      <c r="D31" s="3" t="s">
        <v>12</v>
      </c>
      <c r="E31" s="3" t="s">
        <v>13</v>
      </c>
      <c r="F31" s="3" t="s">
        <v>20</v>
      </c>
      <c r="G31" s="3" t="s">
        <v>21</v>
      </c>
      <c r="H31" s="3" t="s">
        <v>15</v>
      </c>
      <c r="I31" s="3" t="s">
        <v>16</v>
      </c>
      <c r="J31" s="3"/>
    </row>
    <row r="32" spans="1:10" ht="22.5" customHeight="1" x14ac:dyDescent="0.25">
      <c r="A32" s="2">
        <v>46103.674608564819</v>
      </c>
      <c r="B32" s="3" t="s">
        <v>10</v>
      </c>
      <c r="C32" s="3" t="s">
        <v>11</v>
      </c>
      <c r="D32" s="3" t="s">
        <v>12</v>
      </c>
      <c r="E32" s="3" t="s">
        <v>25</v>
      </c>
      <c r="F32" s="3" t="s">
        <v>20</v>
      </c>
      <c r="G32" s="3" t="s">
        <v>21</v>
      </c>
      <c r="H32" s="3" t="s">
        <v>19</v>
      </c>
      <c r="I32" s="3" t="s">
        <v>16</v>
      </c>
      <c r="J32" s="3"/>
    </row>
    <row r="33" spans="1:10" ht="22.5" customHeight="1" x14ac:dyDescent="0.25">
      <c r="A33" s="2">
        <v>46103.727337743054</v>
      </c>
      <c r="B33" s="3" t="s">
        <v>10</v>
      </c>
      <c r="C33" s="3" t="s">
        <v>11</v>
      </c>
      <c r="D33" s="3" t="s">
        <v>20</v>
      </c>
      <c r="E33" s="3" t="s">
        <v>27</v>
      </c>
      <c r="F33" s="3" t="s">
        <v>20</v>
      </c>
      <c r="G33" s="3" t="s">
        <v>14</v>
      </c>
      <c r="H33" s="3" t="s">
        <v>19</v>
      </c>
      <c r="I33" s="3" t="s">
        <v>16</v>
      </c>
      <c r="J33" s="3" t="s">
        <v>49</v>
      </c>
    </row>
    <row r="34" spans="1:10" ht="22.5" customHeight="1" x14ac:dyDescent="0.25">
      <c r="A34" s="2">
        <v>46103.736110451384</v>
      </c>
      <c r="B34" s="3" t="s">
        <v>10</v>
      </c>
      <c r="C34" s="3" t="s">
        <v>11</v>
      </c>
      <c r="D34" s="3" t="s">
        <v>20</v>
      </c>
      <c r="E34" s="3" t="s">
        <v>27</v>
      </c>
      <c r="F34" s="3" t="s">
        <v>20</v>
      </c>
      <c r="G34" s="3" t="s">
        <v>14</v>
      </c>
      <c r="H34" s="3" t="s">
        <v>28</v>
      </c>
      <c r="I34" s="3" t="s">
        <v>16</v>
      </c>
      <c r="J34" s="3" t="s">
        <v>50</v>
      </c>
    </row>
    <row r="35" spans="1:10" ht="22.5" customHeight="1" x14ac:dyDescent="0.25">
      <c r="A35" s="2">
        <v>46103.825902662036</v>
      </c>
      <c r="B35" s="3" t="s">
        <v>10</v>
      </c>
      <c r="C35" s="3" t="s">
        <v>11</v>
      </c>
      <c r="D35" s="3" t="s">
        <v>20</v>
      </c>
      <c r="E35" s="3" t="s">
        <v>13</v>
      </c>
      <c r="F35" s="3" t="s">
        <v>20</v>
      </c>
      <c r="G35" s="3" t="s">
        <v>29</v>
      </c>
      <c r="H35" s="3" t="s">
        <v>19</v>
      </c>
      <c r="I35" s="3" t="s">
        <v>16</v>
      </c>
    </row>
    <row r="36" spans="1:10" ht="22.5" customHeight="1" x14ac:dyDescent="0.25">
      <c r="A36" s="2">
        <v>46110.607655613421</v>
      </c>
      <c r="B36" s="3" t="s">
        <v>38</v>
      </c>
      <c r="C36" s="3" t="s">
        <v>11</v>
      </c>
      <c r="D36" s="3" t="s">
        <v>20</v>
      </c>
      <c r="E36" s="3" t="s">
        <v>13</v>
      </c>
      <c r="F36" s="3" t="s">
        <v>20</v>
      </c>
      <c r="G36" s="3" t="s">
        <v>21</v>
      </c>
      <c r="H36" s="3" t="s">
        <v>30</v>
      </c>
      <c r="I36" s="3" t="s">
        <v>16</v>
      </c>
      <c r="J36" s="3" t="s">
        <v>51</v>
      </c>
    </row>
    <row r="37" spans="1:10" ht="22.5" customHeight="1" x14ac:dyDescent="0.25">
      <c r="A37" s="2">
        <v>46110.608085347223</v>
      </c>
      <c r="B37" s="3" t="s">
        <v>26</v>
      </c>
      <c r="C37" s="3" t="s">
        <v>11</v>
      </c>
      <c r="D37" s="3" t="s">
        <v>12</v>
      </c>
      <c r="E37" s="3" t="s">
        <v>13</v>
      </c>
      <c r="F37" s="3" t="s">
        <v>12</v>
      </c>
      <c r="G37" s="3" t="s">
        <v>21</v>
      </c>
      <c r="H37" s="3" t="s">
        <v>28</v>
      </c>
      <c r="I37" s="3" t="s">
        <v>16</v>
      </c>
      <c r="J37" s="3" t="s">
        <v>16</v>
      </c>
    </row>
    <row r="38" spans="1:10" ht="15.75" customHeight="1" x14ac:dyDescent="0.25">
      <c r="A38" s="6"/>
      <c r="B38" s="6"/>
      <c r="C38" s="6"/>
      <c r="D38" s="6"/>
      <c r="E38" s="6"/>
      <c r="F38" s="6"/>
      <c r="G38" s="6"/>
      <c r="H38" s="6"/>
      <c r="I38" s="6"/>
      <c r="J38" s="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45"/>
  <sheetViews>
    <sheetView tabSelected="1" topLeftCell="A22" zoomScale="86" workbookViewId="0">
      <selection activeCell="D6" sqref="D6"/>
    </sheetView>
  </sheetViews>
  <sheetFormatPr defaultColWidth="12.6640625" defaultRowHeight="15.75" customHeight="1" x14ac:dyDescent="0.25"/>
  <cols>
    <col min="1" max="1" width="24.33203125" bestFit="1" customWidth="1"/>
  </cols>
  <sheetData>
    <row r="1" spans="1:10" ht="13.2" x14ac:dyDescent="0.25">
      <c r="A1" s="19" t="s">
        <v>52</v>
      </c>
      <c r="B1" s="19" t="s">
        <v>53</v>
      </c>
      <c r="C1" s="19" t="s">
        <v>54</v>
      </c>
      <c r="D1" s="4"/>
      <c r="J1" s="5"/>
    </row>
    <row r="2" spans="1:10" ht="13.2" x14ac:dyDescent="0.25">
      <c r="A2" s="13" t="s">
        <v>55</v>
      </c>
      <c r="B2" s="13">
        <f>COUNTIF(Raw_Data[Which group do you fall into? ],"School Student")</f>
        <v>4</v>
      </c>
      <c r="C2" s="20">
        <f>B2/SUM($B$2:$B$5)*100</f>
        <v>11.111111111111111</v>
      </c>
    </row>
    <row r="3" spans="1:10" ht="13.2" x14ac:dyDescent="0.25">
      <c r="A3" s="13" t="s">
        <v>56</v>
      </c>
      <c r="B3" s="13">
        <f>COUNTIF(Raw_Data[Which group do you fall into? ],"College student")</f>
        <v>29</v>
      </c>
      <c r="C3" s="20">
        <f t="shared" ref="C3:C5" si="0">B3/SUM($B$2:$B$5)*100</f>
        <v>80.555555555555557</v>
      </c>
    </row>
    <row r="4" spans="1:10" ht="13.2" x14ac:dyDescent="0.25">
      <c r="A4" s="13" t="s">
        <v>26</v>
      </c>
      <c r="B4" s="13">
        <f>COUNTIF(Raw_Data[Which group do you fall into? ],"Working")</f>
        <v>3</v>
      </c>
      <c r="C4" s="20">
        <f t="shared" si="0"/>
        <v>8.3333333333333321</v>
      </c>
    </row>
    <row r="5" spans="1:10" ht="13.2" x14ac:dyDescent="0.25">
      <c r="A5" s="13" t="s">
        <v>57</v>
      </c>
      <c r="B5" s="13">
        <f>COUNTIF(Raw_Data[Which group do you fall into? ],"Other")</f>
        <v>0</v>
      </c>
      <c r="C5" s="20">
        <f t="shared" si="0"/>
        <v>0</v>
      </c>
    </row>
    <row r="6" spans="1:10" ht="15.75" customHeight="1" x14ac:dyDescent="0.25">
      <c r="A6" s="11"/>
      <c r="B6" s="11"/>
      <c r="C6" s="11"/>
    </row>
    <row r="7" spans="1:10" ht="15.75" customHeight="1" x14ac:dyDescent="0.25">
      <c r="A7" s="19" t="s">
        <v>58</v>
      </c>
      <c r="B7" s="11"/>
      <c r="C7" s="11"/>
    </row>
    <row r="8" spans="1:10" ht="15.75" customHeight="1" x14ac:dyDescent="0.25">
      <c r="A8" s="13" t="s">
        <v>23</v>
      </c>
      <c r="B8" s="11">
        <f>COUNTIF('Raw Data'!C2:C37,"Lectures/classes")</f>
        <v>3</v>
      </c>
      <c r="C8" s="20">
        <f>B8/SUM($B$8:$B$11)*100</f>
        <v>8.3333333333333321</v>
      </c>
    </row>
    <row r="9" spans="1:10" ht="15.75" customHeight="1" x14ac:dyDescent="0.25">
      <c r="A9" s="14" t="s">
        <v>11</v>
      </c>
      <c r="B9" s="11">
        <f>COUNTIF('Raw Data'!C2:C37,"YouTube/videos")</f>
        <v>15</v>
      </c>
      <c r="C9" s="20">
        <f>B9/SUM($B$8:$B12)*100</f>
        <v>41.666666666666671</v>
      </c>
    </row>
    <row r="10" spans="1:10" ht="15.75" customHeight="1" x14ac:dyDescent="0.25">
      <c r="A10" s="11" t="s">
        <v>18</v>
      </c>
      <c r="B10" s="11">
        <f>COUNTIF('Raw Data'!C2:C37,"Self-study (notes/books)")</f>
        <v>12</v>
      </c>
      <c r="C10" s="20">
        <f>B10/SUM($B$8:$B13)*100</f>
        <v>33.333333333333329</v>
      </c>
    </row>
    <row r="11" spans="1:10" ht="15.75" customHeight="1" x14ac:dyDescent="0.25">
      <c r="A11" s="15" t="s">
        <v>31</v>
      </c>
      <c r="B11" s="11">
        <f>COUNTIF('Raw Data'!C2:C37,"Friends/peers")</f>
        <v>6</v>
      </c>
      <c r="C11" s="20">
        <f>B11/SUM($B$8:$B14)*100</f>
        <v>11.76470588235294</v>
      </c>
    </row>
    <row r="12" spans="1:10" ht="15.75" customHeight="1" x14ac:dyDescent="0.25">
      <c r="A12" s="11"/>
      <c r="B12" s="11"/>
      <c r="C12" s="11"/>
    </row>
    <row r="13" spans="1:10" ht="15.75" customHeight="1" x14ac:dyDescent="0.25">
      <c r="A13" s="16" t="s">
        <v>59</v>
      </c>
      <c r="B13" s="11"/>
      <c r="C13" s="11"/>
    </row>
    <row r="14" spans="1:10" ht="15.75" customHeight="1" x14ac:dyDescent="0.25">
      <c r="A14" s="17" t="s">
        <v>20</v>
      </c>
      <c r="B14" s="11">
        <f>COUNTIF(Raw_Data[How often do you attend classes/lectures?  ],"Almost always")</f>
        <v>15</v>
      </c>
      <c r="C14" s="20">
        <f>B14/SUM($B$14:$B$16)*100</f>
        <v>41.666666666666671</v>
      </c>
    </row>
    <row r="15" spans="1:10" ht="15.75" customHeight="1" x14ac:dyDescent="0.25">
      <c r="A15" s="17" t="s">
        <v>12</v>
      </c>
      <c r="B15" s="11">
        <f>COUNTIF(Raw_Data[How often do you attend classes/lectures?  ],"Sometimes")</f>
        <v>19</v>
      </c>
      <c r="C15" s="20">
        <f t="shared" ref="C15:C16" si="1">B15/SUM($B$14:$B$16)*100</f>
        <v>52.777777777777779</v>
      </c>
    </row>
    <row r="16" spans="1:10" ht="15.75" customHeight="1" x14ac:dyDescent="0.25">
      <c r="A16" s="10" t="s">
        <v>24</v>
      </c>
      <c r="B16" s="11">
        <f>COUNTIF(Raw_Data[How often do you attend classes/lectures?  ],"Rarely")</f>
        <v>2</v>
      </c>
      <c r="C16" s="20">
        <f t="shared" si="1"/>
        <v>5.5555555555555554</v>
      </c>
    </row>
    <row r="17" spans="1:3" ht="15.75" customHeight="1" x14ac:dyDescent="0.25">
      <c r="A17" s="11"/>
      <c r="B17" s="11"/>
      <c r="C17" s="11"/>
    </row>
    <row r="18" spans="1:3" ht="15.75" customHeight="1" x14ac:dyDescent="0.25">
      <c r="A18" s="16" t="s">
        <v>60</v>
      </c>
      <c r="B18" s="11"/>
      <c r="C18" s="11"/>
    </row>
    <row r="19" spans="1:3" ht="15.75" customHeight="1" x14ac:dyDescent="0.25">
      <c r="A19" s="17" t="s">
        <v>13</v>
      </c>
      <c r="B19" s="11">
        <f>COUNTIF(Raw_Data[How much do you actually understand during those classes?  ],"Some of it")</f>
        <v>20</v>
      </c>
      <c r="C19" s="20">
        <f>B19/SUM($B$19:$B$21)*100</f>
        <v>55.555555555555557</v>
      </c>
    </row>
    <row r="20" spans="1:3" ht="15.75" customHeight="1" x14ac:dyDescent="0.25">
      <c r="A20" s="17" t="s">
        <v>27</v>
      </c>
      <c r="B20" s="11">
        <f>COUNTIF(Raw_Data[How much do you actually understand during those classes?  ],"Most of it")</f>
        <v>7</v>
      </c>
      <c r="C20" s="20">
        <f t="shared" ref="C20:C21" si="2">B20/SUM($B$19:$B$21)*100</f>
        <v>19.444444444444446</v>
      </c>
    </row>
    <row r="21" spans="1:3" ht="15.75" customHeight="1" x14ac:dyDescent="0.25">
      <c r="A21" s="10" t="s">
        <v>25</v>
      </c>
      <c r="B21" s="11">
        <f>COUNTIF(Raw_Data[How much do you actually understand during those classes?  ],"Very little")</f>
        <v>9</v>
      </c>
      <c r="C21" s="20">
        <f t="shared" si="2"/>
        <v>25</v>
      </c>
    </row>
    <row r="22" spans="1:3" ht="15.75" customHeight="1" x14ac:dyDescent="0.25">
      <c r="A22" s="11"/>
      <c r="B22" s="11"/>
      <c r="C22" s="11"/>
    </row>
    <row r="23" spans="1:3" ht="15.75" customHeight="1" x14ac:dyDescent="0.25">
      <c r="A23" s="16" t="s">
        <v>61</v>
      </c>
      <c r="B23" s="11"/>
      <c r="C23" s="11"/>
    </row>
    <row r="24" spans="1:3" ht="15.75" customHeight="1" x14ac:dyDescent="0.25">
      <c r="A24" s="17" t="s">
        <v>12</v>
      </c>
      <c r="B24" s="11">
        <f>COUNTIF(Raw_Data[After a class, do you usually go online(YouTube,etc.) to understand the same topic better?],"Sometimes")</f>
        <v>22</v>
      </c>
      <c r="C24" s="20">
        <f>B24/SUM($B$24:$B$26)*100</f>
        <v>61.111111111111114</v>
      </c>
    </row>
    <row r="25" spans="1:3" ht="15.75" customHeight="1" x14ac:dyDescent="0.25">
      <c r="A25" s="10" t="s">
        <v>20</v>
      </c>
      <c r="B25" s="11">
        <f>COUNTIF(Raw_Data[After a class, do you usually go online(YouTube,etc.) to understand the same topic better?],"Almost always")</f>
        <v>11</v>
      </c>
      <c r="C25" s="20">
        <f t="shared" ref="C25:C26" si="3">B25/SUM($B$24:$B$26)*100</f>
        <v>30.555555555555557</v>
      </c>
    </row>
    <row r="26" spans="1:3" ht="15.75" customHeight="1" x14ac:dyDescent="0.25">
      <c r="A26" s="18" t="s">
        <v>24</v>
      </c>
      <c r="B26" s="11">
        <f>COUNTIF(Raw_Data[After a class, do you usually go online(YouTube,etc.) to understand the same topic better?],"Rarely")</f>
        <v>3</v>
      </c>
      <c r="C26" s="20">
        <f t="shared" si="3"/>
        <v>8.3333333333333321</v>
      </c>
    </row>
    <row r="27" spans="1:3" ht="15.75" customHeight="1" x14ac:dyDescent="0.25">
      <c r="A27" s="11"/>
      <c r="B27" s="11"/>
      <c r="C27" s="11"/>
    </row>
    <row r="28" spans="1:3" ht="15.75" customHeight="1" x14ac:dyDescent="0.25">
      <c r="A28" s="16" t="s">
        <v>62</v>
      </c>
      <c r="B28" s="11"/>
      <c r="C28" s="11"/>
    </row>
    <row r="29" spans="1:3" ht="15.75" customHeight="1" x14ac:dyDescent="0.25">
      <c r="A29" s="10" t="s">
        <v>46</v>
      </c>
      <c r="B29" s="11">
        <f>COUNTIF(Raw_Data[When do you feel your ‘real’ studying happens?  ],"During class")</f>
        <v>1</v>
      </c>
      <c r="C29" s="20">
        <f>B29/SUM($B$29:$B$32)*100</f>
        <v>2.7777777777777777</v>
      </c>
    </row>
    <row r="30" spans="1:3" ht="15.75" customHeight="1" x14ac:dyDescent="0.25">
      <c r="A30" s="17" t="s">
        <v>14</v>
      </c>
      <c r="B30" s="11">
        <f>COUNTIF(Raw_Data[When do you feel your ‘real’ studying happens?  ],"Right before exams")</f>
        <v>17</v>
      </c>
      <c r="C30" s="20">
        <f t="shared" ref="C30:C32" si="4">B30/SUM($B$29:$B$32)*100</f>
        <v>47.222222222222221</v>
      </c>
    </row>
    <row r="31" spans="1:3" ht="15.75" customHeight="1" x14ac:dyDescent="0.25">
      <c r="A31" s="17" t="s">
        <v>29</v>
      </c>
      <c r="B31" s="11">
        <f>COUNTIF(Raw_Data[When do you feel your ‘real’ studying happens?  ],"After class")</f>
        <v>7</v>
      </c>
      <c r="C31" s="20">
        <f t="shared" si="4"/>
        <v>19.444444444444446</v>
      </c>
    </row>
    <row r="32" spans="1:3" ht="15.75" customHeight="1" x14ac:dyDescent="0.25">
      <c r="A32" s="10" t="s">
        <v>21</v>
      </c>
      <c r="B32" s="11">
        <f>COUNTIF(Raw_Data[When do you feel your ‘real’ studying happens?  ],"Late at night")</f>
        <v>11</v>
      </c>
      <c r="C32" s="20">
        <f t="shared" si="4"/>
        <v>30.555555555555557</v>
      </c>
    </row>
    <row r="33" spans="1:3" ht="15.75" customHeight="1" x14ac:dyDescent="0.25">
      <c r="A33" s="11"/>
      <c r="B33" s="11"/>
      <c r="C33" s="11"/>
    </row>
    <row r="34" spans="1:3" ht="15.75" customHeight="1" x14ac:dyDescent="0.25">
      <c r="A34" s="16" t="s">
        <v>63</v>
      </c>
      <c r="B34" s="11"/>
      <c r="C34" s="11"/>
    </row>
    <row r="35" spans="1:3" ht="15.75" customHeight="1" x14ac:dyDescent="0.25">
      <c r="A35" s="10" t="s">
        <v>15</v>
      </c>
      <c r="B35" s="11">
        <f>COUNTIF(Raw_Data[What actually helps you learn faster?  ],"Watching videos")</f>
        <v>9</v>
      </c>
      <c r="C35" s="20">
        <f>B35/SUM($B$35:$B$38)*100</f>
        <v>25</v>
      </c>
    </row>
    <row r="36" spans="1:3" ht="15.75" customHeight="1" x14ac:dyDescent="0.25">
      <c r="A36" s="10" t="s">
        <v>28</v>
      </c>
      <c r="B36" s="11">
        <f>COUNTIF(Raw_Data[What actually helps you learn faster?  ],"Reading notes")</f>
        <v>8</v>
      </c>
      <c r="C36" s="20">
        <f t="shared" ref="C36:C38" si="5">B36/SUM($B$35:$B$38)*100</f>
        <v>22.222222222222221</v>
      </c>
    </row>
    <row r="37" spans="1:3" ht="15.75" customHeight="1" x14ac:dyDescent="0.25">
      <c r="A37" s="17" t="s">
        <v>19</v>
      </c>
      <c r="B37" s="11">
        <f>COUNTIF(Raw_Data[What actually helps you learn faster?  ],"Explaining to someone")</f>
        <v>7</v>
      </c>
      <c r="C37" s="20">
        <f t="shared" si="5"/>
        <v>19.444444444444446</v>
      </c>
    </row>
    <row r="38" spans="1:3" ht="15.75" customHeight="1" x14ac:dyDescent="0.25">
      <c r="A38" s="17" t="s">
        <v>30</v>
      </c>
      <c r="B38" s="11">
        <f>COUNTIF(Raw_Data[What actually helps you learn faster?  ],"Practicing problems")</f>
        <v>12</v>
      </c>
      <c r="C38" s="20">
        <f t="shared" si="5"/>
        <v>33.333333333333329</v>
      </c>
    </row>
    <row r="39" spans="1:3" ht="15.75" customHeight="1" x14ac:dyDescent="0.25">
      <c r="A39" s="11"/>
      <c r="B39" s="11"/>
      <c r="C39" s="11"/>
    </row>
    <row r="40" spans="1:3" ht="15.75" customHeight="1" x14ac:dyDescent="0.25">
      <c r="A40" s="16" t="s">
        <v>64</v>
      </c>
      <c r="B40" s="11"/>
      <c r="C40" s="11"/>
    </row>
    <row r="41" spans="1:3" ht="15.75" customHeight="1" x14ac:dyDescent="0.25">
      <c r="A41" s="18" t="s">
        <v>32</v>
      </c>
      <c r="B41" s="11">
        <f>COUNTIF(Raw_Data[Do you feel lectures alone are enough to build real skills?  ],"Yes")</f>
        <v>5</v>
      </c>
      <c r="C41" s="20">
        <f>B41/SUM($B$41:$B$43)*100</f>
        <v>13.888888888888889</v>
      </c>
    </row>
    <row r="42" spans="1:3" ht="15.75" customHeight="1" x14ac:dyDescent="0.25">
      <c r="A42" s="18" t="s">
        <v>16</v>
      </c>
      <c r="B42" s="11">
        <f>COUNTIF(Raw_Data[Do you feel lectures alone are enough to build real skills?  ],"No")</f>
        <v>30</v>
      </c>
      <c r="C42" s="20">
        <f t="shared" ref="C42:C43" si="6">B42/SUM($B$41:$B$43)*100</f>
        <v>83.333333333333343</v>
      </c>
    </row>
    <row r="43" spans="1:3" ht="15.75" customHeight="1" x14ac:dyDescent="0.25">
      <c r="A43" s="18" t="s">
        <v>37</v>
      </c>
      <c r="B43" s="12">
        <f>COUNTIF(Raw_Data[Do you feel lectures alone are enough to build real skills?  ],"Not sure")</f>
        <v>1</v>
      </c>
      <c r="C43" s="20">
        <f t="shared" si="6"/>
        <v>2.7777777777777777</v>
      </c>
    </row>
    <row r="44" spans="1:3" ht="15.75" customHeight="1" x14ac:dyDescent="0.25">
      <c r="A44" s="22"/>
    </row>
    <row r="45" spans="1:3" ht="15.75" customHeight="1" x14ac:dyDescent="0.25">
      <c r="A45" s="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833C7-B53C-4C10-A42F-6BFD44BDDE3C}">
  <dimension ref="A1:K12"/>
  <sheetViews>
    <sheetView zoomScale="78" workbookViewId="0">
      <selection activeCell="M34" sqref="M34"/>
    </sheetView>
  </sheetViews>
  <sheetFormatPr defaultRowHeight="13.2" x14ac:dyDescent="0.25"/>
  <cols>
    <col min="1" max="1" width="72.44140625" bestFit="1" customWidth="1"/>
  </cols>
  <sheetData>
    <row r="1" spans="1:11" ht="22.8" x14ac:dyDescent="0.4">
      <c r="A1" s="7" t="s">
        <v>65</v>
      </c>
    </row>
    <row r="2" spans="1:11" ht="15" x14ac:dyDescent="0.25">
      <c r="A2" s="8" t="s">
        <v>66</v>
      </c>
    </row>
    <row r="3" spans="1:11" ht="15" x14ac:dyDescent="0.25">
      <c r="A3" s="9" t="s">
        <v>67</v>
      </c>
    </row>
    <row r="12" spans="1:11" x14ac:dyDescent="0.25">
      <c r="K12" t="s">
        <v>68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Summary</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Gauri</dc:creator>
  <cp:lastModifiedBy>Gauri Butte</cp:lastModifiedBy>
  <dcterms:created xsi:type="dcterms:W3CDTF">2026-03-30T10:43:12Z</dcterms:created>
  <dcterms:modified xsi:type="dcterms:W3CDTF">2026-03-30T12:26:16Z</dcterms:modified>
</cp:coreProperties>
</file>